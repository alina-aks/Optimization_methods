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naaksanova/Desktop/итмо/5 сем/МетОпт/"/>
    </mc:Choice>
  </mc:AlternateContent>
  <xr:revisionPtr revIDLastSave="0" documentId="13_ncr:1_{C61BC0CF-574B-584E-9866-6A7C064B7578}" xr6:coauthVersionLast="47" xr6:coauthVersionMax="47" xr10:uidLastSave="{00000000-0000-0000-0000-000000000000}"/>
  <bookViews>
    <workbookView xWindow="13180" yWindow="740" windowWidth="14660" windowHeight="16780" activeTab="1" xr2:uid="{FEF1A07A-1829-564E-8D2C-65D4711B8536}"/>
  </bookViews>
  <sheets>
    <sheet name="Отчет о результатах 1" sheetId="2" r:id="rId1"/>
    <sheet name="Лист1" sheetId="1" r:id="rId2"/>
  </sheets>
  <definedNames>
    <definedName name="solver_adj" localSheetId="1" hidden="1">Лист1!$B$2:$E$2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itr" localSheetId="1" hidden="1">2147483647</definedName>
    <definedName name="solver_lhs1" localSheetId="1" hidden="1">Лист1!$F$4</definedName>
    <definedName name="solver_lhs2" localSheetId="1" hidden="1">Лист1!$F$5</definedName>
    <definedName name="solver_lhs3" localSheetId="1" hidden="1">Лист1!$F$6</definedName>
    <definedName name="solver_lin" localSheetId="1" hidden="1">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3</definedName>
    <definedName name="solver_opt" localSheetId="1" hidden="1">Лист1!$F$3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2</definedName>
    <definedName name="solver_rel3" localSheetId="1" hidden="1">3</definedName>
    <definedName name="solver_rhs1" localSheetId="1" hidden="1">7</definedName>
    <definedName name="solver_rhs2" localSheetId="1" hidden="1">6</definedName>
    <definedName name="solver_rhs3" localSheetId="1" hidden="1">2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</calcChain>
</file>

<file path=xl/sharedStrings.xml><?xml version="1.0" encoding="utf-8"?>
<sst xmlns="http://schemas.openxmlformats.org/spreadsheetml/2006/main" count="65" uniqueCount="55">
  <si>
    <t>переменные</t>
  </si>
  <si>
    <t>целевая Z</t>
  </si>
  <si>
    <t>ограничение 1</t>
  </si>
  <si>
    <t>ограничение 2</t>
  </si>
  <si>
    <t>ограничение 3</t>
  </si>
  <si>
    <t>x1</t>
  </si>
  <si>
    <t>x2</t>
  </si>
  <si>
    <t>x3</t>
  </si>
  <si>
    <t>x4</t>
  </si>
  <si>
    <t>значение</t>
  </si>
  <si>
    <t>Microsoft Excel 16.78 Отчет о результатах</t>
  </si>
  <si>
    <t>Лист: [Лр1Exel.xlsx]Лист1</t>
  </si>
  <si>
    <t>Отчет создан: 17.10.2026 21:18:06</t>
  </si>
  <si>
    <t>Результат: Решение найдено. Все ограничения и условия оптимальности выполнены.</t>
  </si>
  <si>
    <t>Модуль поиска решения</t>
  </si>
  <si>
    <t>Модуль: Поиск решения линейных задач симплекс-методом</t>
  </si>
  <si>
    <t>Время решения: 245,896 секунд.</t>
  </si>
  <si>
    <t>Число итераций: 2 Число подзадач: 0</t>
  </si>
  <si>
    <t>Параметры поиска решения</t>
  </si>
  <si>
    <t>Максимальное время Без пределов,  Число итераций Без пределов, Precision 0,000001, Использовать автоматическое масштабирование</t>
  </si>
  <si>
    <t>Максимальное число подзадач Без пределов, Максимальное число целочисленных решений Без пределов, Целочисленное отклонение 1%, Считать неотрицательными</t>
  </si>
  <si>
    <t>Ячейка целевой функции (Минимум)</t>
  </si>
  <si>
    <t>Ячейка</t>
  </si>
  <si>
    <t>Имя</t>
  </si>
  <si>
    <t>Исходное значение</t>
  </si>
  <si>
    <t>Окончательное значение</t>
  </si>
  <si>
    <t>Ячейки переменных</t>
  </si>
  <si>
    <t>Целочисленное</t>
  </si>
  <si>
    <t>Ограничения</t>
  </si>
  <si>
    <t>Значение ячейки</t>
  </si>
  <si>
    <t>Формула</t>
  </si>
  <si>
    <t>Состояние</t>
  </si>
  <si>
    <t>Допуск</t>
  </si>
  <si>
    <t>$F$3</t>
  </si>
  <si>
    <t>целевая Z значение</t>
  </si>
  <si>
    <t>$B$2</t>
  </si>
  <si>
    <t>переменные x1</t>
  </si>
  <si>
    <t>Продолжить</t>
  </si>
  <si>
    <t>$C$2</t>
  </si>
  <si>
    <t>переменные x2</t>
  </si>
  <si>
    <t>$D$2</t>
  </si>
  <si>
    <t>переменные x3</t>
  </si>
  <si>
    <t>$E$2</t>
  </si>
  <si>
    <t>переменные x4</t>
  </si>
  <si>
    <t>$F$4</t>
  </si>
  <si>
    <t>ограничение 1 значение</t>
  </si>
  <si>
    <t>$F$4&lt;=7</t>
  </si>
  <si>
    <t>Без привязки</t>
  </si>
  <si>
    <t>$F$5</t>
  </si>
  <si>
    <t>ограничение 2 значение</t>
  </si>
  <si>
    <t>$F$5=6</t>
  </si>
  <si>
    <t>Привязка</t>
  </si>
  <si>
    <t>$F$6</t>
  </si>
  <si>
    <t>ограничение 3 значение</t>
  </si>
  <si>
    <t>$F$6&gt;=2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</si>
</sst>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2"/>
      <color indexed="1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2" xfId="0" applyFill="1" applyBorder="1" applyAlignment="1"/>
    <xf numFmtId="0" fontId="2" fillId="0" borderId="1" xfId="0" applyFont="1" applyFill="1" applyBorder="1" applyAlignment="1">
      <alignment horizontal="center"/>
    </xf>
    <xf numFmtId="0" fontId="0" fillId="0" borderId="3" xfId="0" applyFill="1" applyBorder="1" applyAlignment="1"/>
    <xf numFmtId="0" fontId="0" fillId="0" borderId="2" xfId="0" applyNumberFormat="1" applyFill="1" applyBorder="1" applyAlignment="1"/>
    <xf numFmtId="0" fontId="0" fillId="0" borderId="3" xfId="0" applyNumberForma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CC924-870B-BF4A-87F0-73395489B1D1}">
  <dimension ref="A1:G31"/>
  <sheetViews>
    <sheetView showGridLines="0" zoomScale="63" workbookViewId="0">
      <selection activeCell="F37" sqref="F37"/>
    </sheetView>
  </sheetViews>
  <sheetFormatPr baseColWidth="10" defaultRowHeight="16" x14ac:dyDescent="0.2"/>
  <cols>
    <col min="1" max="1" width="2.33203125" customWidth="1"/>
    <col min="2" max="2" width="7.33203125" bestFit="1" customWidth="1"/>
    <col min="3" max="3" width="22.33203125" bestFit="1" customWidth="1"/>
    <col min="4" max="4" width="18.33203125" bestFit="1" customWidth="1"/>
    <col min="5" max="5" width="23.5" bestFit="1" customWidth="1"/>
    <col min="6" max="6" width="14.83203125" bestFit="1" customWidth="1"/>
    <col min="7" max="7" width="7.5" bestFit="1" customWidth="1"/>
  </cols>
  <sheetData>
    <row r="1" spans="1:5" x14ac:dyDescent="0.2">
      <c r="A1" s="1" t="s">
        <v>10</v>
      </c>
    </row>
    <row r="2" spans="1:5" x14ac:dyDescent="0.2">
      <c r="A2" s="1" t="s">
        <v>11</v>
      </c>
    </row>
    <row r="3" spans="1:5" x14ac:dyDescent="0.2">
      <c r="A3" s="1" t="s">
        <v>12</v>
      </c>
    </row>
    <row r="4" spans="1:5" x14ac:dyDescent="0.2">
      <c r="A4" s="1" t="s">
        <v>13</v>
      </c>
    </row>
    <row r="5" spans="1:5" x14ac:dyDescent="0.2">
      <c r="A5" s="1" t="s">
        <v>14</v>
      </c>
    </row>
    <row r="6" spans="1:5" x14ac:dyDescent="0.2">
      <c r="A6" s="1"/>
      <c r="B6" t="s">
        <v>15</v>
      </c>
    </row>
    <row r="7" spans="1:5" x14ac:dyDescent="0.2">
      <c r="A7" s="1"/>
      <c r="B7" t="s">
        <v>16</v>
      </c>
    </row>
    <row r="8" spans="1:5" x14ac:dyDescent="0.2">
      <c r="A8" s="1"/>
      <c r="B8" t="s">
        <v>17</v>
      </c>
    </row>
    <row r="9" spans="1:5" x14ac:dyDescent="0.2">
      <c r="A9" s="1" t="s">
        <v>18</v>
      </c>
    </row>
    <row r="10" spans="1:5" x14ac:dyDescent="0.2">
      <c r="B10" t="s">
        <v>19</v>
      </c>
    </row>
    <row r="11" spans="1:5" x14ac:dyDescent="0.2">
      <c r="B11" t="s">
        <v>20</v>
      </c>
    </row>
    <row r="14" spans="1:5" ht="17" thickBot="1" x14ac:dyDescent="0.25">
      <c r="A14" t="s">
        <v>21</v>
      </c>
    </row>
    <row r="15" spans="1:5" ht="17" thickBot="1" x14ac:dyDescent="0.25">
      <c r="B15" s="3" t="s">
        <v>22</v>
      </c>
      <c r="C15" s="3" t="s">
        <v>23</v>
      </c>
      <c r="D15" s="3" t="s">
        <v>24</v>
      </c>
      <c r="E15" s="3" t="s">
        <v>25</v>
      </c>
    </row>
    <row r="16" spans="1:5" ht="17" thickBot="1" x14ac:dyDescent="0.25">
      <c r="B16" s="2" t="s">
        <v>33</v>
      </c>
      <c r="C16" s="2" t="s">
        <v>34</v>
      </c>
      <c r="D16" s="5">
        <v>6</v>
      </c>
      <c r="E16" s="5">
        <v>6</v>
      </c>
    </row>
    <row r="19" spans="1:7" ht="17" thickBot="1" x14ac:dyDescent="0.25">
      <c r="A19" t="s">
        <v>26</v>
      </c>
    </row>
    <row r="20" spans="1:7" ht="17" thickBot="1" x14ac:dyDescent="0.25">
      <c r="B20" s="3" t="s">
        <v>22</v>
      </c>
      <c r="C20" s="3" t="s">
        <v>23</v>
      </c>
      <c r="D20" s="3" t="s">
        <v>24</v>
      </c>
      <c r="E20" s="3" t="s">
        <v>25</v>
      </c>
      <c r="F20" s="3" t="s">
        <v>27</v>
      </c>
    </row>
    <row r="21" spans="1:7" x14ac:dyDescent="0.2">
      <c r="B21" s="4" t="s">
        <v>35</v>
      </c>
      <c r="C21" s="4" t="s">
        <v>36</v>
      </c>
      <c r="D21" s="6">
        <v>0</v>
      </c>
      <c r="E21" s="6">
        <v>0</v>
      </c>
      <c r="F21" s="4" t="s">
        <v>37</v>
      </c>
    </row>
    <row r="22" spans="1:7" x14ac:dyDescent="0.2">
      <c r="B22" s="4" t="s">
        <v>38</v>
      </c>
      <c r="C22" s="4" t="s">
        <v>39</v>
      </c>
      <c r="D22" s="6">
        <v>0</v>
      </c>
      <c r="E22" s="6">
        <v>0</v>
      </c>
      <c r="F22" s="4" t="s">
        <v>37</v>
      </c>
    </row>
    <row r="23" spans="1:7" x14ac:dyDescent="0.2">
      <c r="B23" s="4" t="s">
        <v>40</v>
      </c>
      <c r="C23" s="4" t="s">
        <v>41</v>
      </c>
      <c r="D23" s="6">
        <v>0</v>
      </c>
      <c r="E23" s="6">
        <v>0</v>
      </c>
      <c r="F23" s="4" t="s">
        <v>37</v>
      </c>
    </row>
    <row r="24" spans="1:7" ht="17" thickBot="1" x14ac:dyDescent="0.25">
      <c r="B24" s="2" t="s">
        <v>42</v>
      </c>
      <c r="C24" s="2" t="s">
        <v>43</v>
      </c>
      <c r="D24" s="5">
        <v>6</v>
      </c>
      <c r="E24" s="5">
        <v>6</v>
      </c>
      <c r="F24" s="2" t="s">
        <v>37</v>
      </c>
    </row>
    <row r="27" spans="1:7" ht="17" thickBot="1" x14ac:dyDescent="0.25">
      <c r="A27" t="s">
        <v>28</v>
      </c>
    </row>
    <row r="28" spans="1:7" ht="17" thickBot="1" x14ac:dyDescent="0.25">
      <c r="B28" s="3" t="s">
        <v>22</v>
      </c>
      <c r="C28" s="3" t="s">
        <v>23</v>
      </c>
      <c r="D28" s="3" t="s">
        <v>29</v>
      </c>
      <c r="E28" s="3" t="s">
        <v>30</v>
      </c>
      <c r="F28" s="3" t="s">
        <v>31</v>
      </c>
      <c r="G28" s="3" t="s">
        <v>32</v>
      </c>
    </row>
    <row r="29" spans="1:7" x14ac:dyDescent="0.2">
      <c r="B29" s="4" t="s">
        <v>44</v>
      </c>
      <c r="C29" s="4" t="s">
        <v>45</v>
      </c>
      <c r="D29" s="6">
        <v>0</v>
      </c>
      <c r="E29" s="4" t="s">
        <v>46</v>
      </c>
      <c r="F29" s="4" t="s">
        <v>47</v>
      </c>
      <c r="G29" s="4">
        <v>7</v>
      </c>
    </row>
    <row r="30" spans="1:7" x14ac:dyDescent="0.2">
      <c r="B30" s="4" t="s">
        <v>48</v>
      </c>
      <c r="C30" s="4" t="s">
        <v>49</v>
      </c>
      <c r="D30" s="6">
        <v>6</v>
      </c>
      <c r="E30" s="4" t="s">
        <v>50</v>
      </c>
      <c r="F30" s="4" t="s">
        <v>51</v>
      </c>
      <c r="G30" s="4">
        <v>0</v>
      </c>
    </row>
    <row r="31" spans="1:7" ht="17" thickBot="1" x14ac:dyDescent="0.25">
      <c r="B31" s="2" t="s">
        <v>52</v>
      </c>
      <c r="C31" s="2" t="s">
        <v>53</v>
      </c>
      <c r="D31" s="5">
        <v>6</v>
      </c>
      <c r="E31" s="2" t="s">
        <v>54</v>
      </c>
      <c r="F31" s="2" t="s">
        <v>47</v>
      </c>
      <c r="G31" s="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9D1FD-2F33-2348-8523-39ABEFE1B659}">
  <dimension ref="A1:F6"/>
  <sheetViews>
    <sheetView tabSelected="1" zoomScale="125" zoomScaleNormal="160" workbookViewId="0">
      <selection activeCell="E4" sqref="E4"/>
    </sheetView>
  </sheetViews>
  <sheetFormatPr baseColWidth="10" defaultRowHeight="16" x14ac:dyDescent="0.2"/>
  <cols>
    <col min="1" max="1" width="15.6640625" customWidth="1"/>
  </cols>
  <sheetData>
    <row r="1" spans="1:6" x14ac:dyDescent="0.2"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">
      <c r="A2" t="s">
        <v>0</v>
      </c>
      <c r="B2">
        <v>0</v>
      </c>
      <c r="C2">
        <v>0</v>
      </c>
      <c r="D2">
        <v>0</v>
      </c>
      <c r="E2">
        <v>6</v>
      </c>
    </row>
    <row r="3" spans="1:6" x14ac:dyDescent="0.2">
      <c r="A3" t="s">
        <v>1</v>
      </c>
      <c r="B3">
        <v>1</v>
      </c>
      <c r="C3">
        <v>2</v>
      </c>
      <c r="D3">
        <v>3</v>
      </c>
      <c r="E3">
        <v>1</v>
      </c>
      <c r="F3">
        <f>SUMPRODUCT(B2:E2,B3:E3)</f>
        <v>6</v>
      </c>
    </row>
    <row r="4" spans="1:6" x14ac:dyDescent="0.2">
      <c r="A4" t="s">
        <v>2</v>
      </c>
      <c r="B4">
        <v>1</v>
      </c>
      <c r="C4">
        <v>2</v>
      </c>
      <c r="D4">
        <v>1</v>
      </c>
      <c r="E4">
        <v>0</v>
      </c>
      <c r="F4">
        <f>SUMPRODUCT($B$2:$E$2,B4:E4)</f>
        <v>0</v>
      </c>
    </row>
    <row r="5" spans="1:6" x14ac:dyDescent="0.2">
      <c r="A5" t="s">
        <v>3</v>
      </c>
      <c r="B5">
        <v>0</v>
      </c>
      <c r="C5">
        <v>1</v>
      </c>
      <c r="D5">
        <v>1</v>
      </c>
      <c r="E5">
        <v>1</v>
      </c>
      <c r="F5">
        <f t="shared" ref="F5:F6" si="0">SUMPRODUCT($B$2:$E$2,B5:E5)</f>
        <v>6</v>
      </c>
    </row>
    <row r="6" spans="1:6" x14ac:dyDescent="0.2">
      <c r="A6" t="s">
        <v>4</v>
      </c>
      <c r="B6">
        <v>1</v>
      </c>
      <c r="C6">
        <v>0</v>
      </c>
      <c r="D6">
        <v>0</v>
      </c>
      <c r="E6">
        <v>1</v>
      </c>
      <c r="F6">
        <f t="shared" si="0"/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Отчет о результатах 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Алина Аксянова</dc:creator>
  <cp:lastModifiedBy>Алина Аксянова</cp:lastModifiedBy>
  <dcterms:created xsi:type="dcterms:W3CDTF">2026-10-05T13:01:15Z</dcterms:created>
  <dcterms:modified xsi:type="dcterms:W3CDTF">2026-10-17T19:13:52Z</dcterms:modified>
</cp:coreProperties>
</file>